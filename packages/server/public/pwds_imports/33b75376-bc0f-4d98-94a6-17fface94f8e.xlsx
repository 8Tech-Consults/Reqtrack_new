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A04D19E-3CEB-4C1B-BAE1-14319DCF7647}" xr6:coauthVersionLast="36" xr6:coauthVersionMax="36" xr10:uidLastSave="{00000000-0000-0000-0000-000000000000}"/>
  <bookViews>
    <workbookView xWindow="0" yWindow="0" windowWidth="22185" windowHeight="9638" activeTab="1" xr2:uid="{00000000-000D-0000-FFFF-FFFF00000000}"/>
  </bookViews>
  <sheets>
    <sheet name="Sheet1" sheetId="1" r:id="rId1"/>
    <sheet name="Sheet2" sheetId="2" r:id="rId2"/>
  </sheets>
  <calcPr calcId="191029"/>
  <fileRecoveryPr repairLoad="1"/>
</workbook>
</file>

<file path=xl/calcChain.xml><?xml version="1.0" encoding="utf-8"?>
<calcChain xmlns="http://schemas.openxmlformats.org/spreadsheetml/2006/main">
  <c r="E13" i="2" l="1"/>
  <c r="E19" i="2"/>
  <c r="F19" i="2" s="1"/>
  <c r="B28" i="2"/>
  <c r="B32" i="2" l="1"/>
  <c r="F13" i="2"/>
  <c r="F6" i="2"/>
  <c r="F5" i="2"/>
  <c r="F7" i="2"/>
  <c r="E7" i="2"/>
  <c r="F3" i="2"/>
  <c r="D2" i="2"/>
  <c r="F4" i="2"/>
  <c r="E4" i="2"/>
  <c r="D8" i="2" l="1"/>
  <c r="F14" i="2"/>
  <c r="E20" i="2"/>
  <c r="F20" i="2" s="1"/>
  <c r="D19" i="2" l="1"/>
  <c r="D18" i="2"/>
  <c r="D17" i="2"/>
  <c r="D16" i="2"/>
  <c r="D14" i="2"/>
  <c r="D13" i="2"/>
  <c r="D12" i="2"/>
  <c r="D15" i="2"/>
  <c r="D11" i="2"/>
  <c r="F11" i="2" s="1"/>
  <c r="D10" i="2"/>
  <c r="D9" i="2"/>
  <c r="D7" i="2"/>
  <c r="D6" i="2"/>
  <c r="D5" i="2"/>
  <c r="D4" i="2"/>
  <c r="D3" i="2"/>
  <c r="D19" i="1"/>
  <c r="D18" i="1"/>
  <c r="D17" i="1"/>
  <c r="D16" i="1"/>
  <c r="D15" i="1"/>
  <c r="D14" i="1"/>
  <c r="D13" i="1"/>
  <c r="D12" i="1"/>
  <c r="D11" i="1"/>
  <c r="F10" i="1"/>
  <c r="D10" i="1"/>
  <c r="D9" i="1"/>
  <c r="D8" i="1"/>
  <c r="D7" i="1"/>
  <c r="D6" i="1"/>
  <c r="D5" i="1"/>
  <c r="D4" i="1"/>
  <c r="D3" i="1"/>
  <c r="F2" i="1"/>
  <c r="D2" i="1"/>
  <c r="D20" i="2" l="1"/>
  <c r="F2" i="2"/>
</calcChain>
</file>

<file path=xl/sharedStrings.xml><?xml version="1.0" encoding="utf-8"?>
<sst xmlns="http://schemas.openxmlformats.org/spreadsheetml/2006/main" count="71" uniqueCount="44">
  <si>
    <t>Expense Details</t>
  </si>
  <si>
    <t>Quantity</t>
  </si>
  <si>
    <t>Unit Cost</t>
  </si>
  <si>
    <t>Total Cost</t>
  </si>
  <si>
    <t>Deposit Made</t>
  </si>
  <si>
    <t>Balance</t>
  </si>
  <si>
    <t>Budget Notes</t>
  </si>
  <si>
    <t>Food</t>
  </si>
  <si>
    <t>Starter, Main course and barbeque</t>
  </si>
  <si>
    <t>Wines bottles</t>
  </si>
  <si>
    <t>Disposables cups and straws</t>
  </si>
  <si>
    <t>2 dozens of disposable glasses plus straws</t>
  </si>
  <si>
    <t>water</t>
  </si>
  <si>
    <t>rwenzori</t>
  </si>
  <si>
    <t>soda</t>
  </si>
  <si>
    <t>Juice</t>
  </si>
  <si>
    <t>Cake</t>
  </si>
  <si>
    <t>2 Tier cake</t>
  </si>
  <si>
    <t xml:space="preserve">PA System </t>
  </si>
  <si>
    <t>Decoration</t>
  </si>
  <si>
    <t>Awards</t>
  </si>
  <si>
    <t>Certificates</t>
  </si>
  <si>
    <t>Hampers (staff)</t>
  </si>
  <si>
    <t>Hampers (consultants)</t>
  </si>
  <si>
    <t>Packaging bags(staff)</t>
  </si>
  <si>
    <t xml:space="preserve">Which packaging bag is this for 35k???? I have changed it to 5k each </t>
  </si>
  <si>
    <t>Packages Bags(consultants)</t>
  </si>
  <si>
    <t>Photography and videography</t>
  </si>
  <si>
    <t>Miscellaneous</t>
  </si>
  <si>
    <t>Total</t>
  </si>
  <si>
    <t xml:space="preserve">Wine boxes </t>
  </si>
  <si>
    <t xml:space="preserve">20 litre jerry cans </t>
  </si>
  <si>
    <t>Awards (boards)</t>
  </si>
  <si>
    <t>Hampers (staff) &amp; board members</t>
  </si>
  <si>
    <t xml:space="preserve">make sure to get different colors for management, staff and consultants </t>
  </si>
  <si>
    <t>28000 for wine and 25000 for notebook</t>
  </si>
  <si>
    <t>miscellaneous</t>
  </si>
  <si>
    <t>tp</t>
  </si>
  <si>
    <t>airtime</t>
  </si>
  <si>
    <t>bank charges</t>
  </si>
  <si>
    <t>bought only two</t>
  </si>
  <si>
    <t>wine mm charge</t>
  </si>
  <si>
    <t>best dressed gift</t>
  </si>
  <si>
    <t>1808000 for the foodstuff, (26 bottles of wine) , 60000 for the pick and peel. 70000 for best dressed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</si>
</sst>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5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/>
    <xf numFmtId="41" fontId="0" fillId="0" borderId="1" xfId="1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0" fontId="0" fillId="2" borderId="1" xfId="0" applyFill="1" applyBorder="1"/>
    <xf numFmtId="3" fontId="0" fillId="2" borderId="1" xfId="0" applyNumberFormat="1" applyFill="1" applyBorder="1"/>
    <xf numFmtId="41" fontId="0" fillId="2" borderId="1" xfId="1" applyFont="1" applyFill="1" applyBorder="1"/>
    <xf numFmtId="41" fontId="2" fillId="0" borderId="1" xfId="1" applyFont="1" applyBorder="1"/>
    <xf numFmtId="0" fontId="0" fillId="2" borderId="0" xfId="0" applyFill="1"/>
    <xf numFmtId="0" fontId="0" fillId="2" borderId="1" xfId="0" applyFont="1" applyFill="1" applyBorder="1" applyAlignment="1"/>
    <xf numFmtId="41" fontId="0" fillId="0" borderId="0" xfId="0" applyNumberFormat="1"/>
    <xf numFmtId="3" fontId="0" fillId="0" borderId="0" xfId="0" applyNumberFormat="1"/>
    <xf numFmtId="41" fontId="0" fillId="0" borderId="1" xfId="0" applyNumberFormat="1" applyBorder="1"/>
    <xf numFmtId="41" fontId="0" fillId="2" borderId="1" xfId="0" applyNumberFormat="1" applyFill="1" applyBorder="1"/>
    <xf numFmtId="165" fontId="0" fillId="2" borderId="1" xfId="2" applyNumberFormat="1" applyFont="1" applyFill="1" applyBorder="1"/>
    <xf numFmtId="165" fontId="3" fillId="0" borderId="1" xfId="2" applyNumberFormat="1" applyFont="1" applyBorder="1"/>
    <xf numFmtId="165" fontId="0" fillId="0" borderId="1" xfId="2" applyNumberFormat="1" applyFont="1" applyBorder="1"/>
    <xf numFmtId="0" fontId="5" fillId="0" borderId="0" xfId="0" applyFont="1"/>
    <xf numFmtId="0" fontId="1" fillId="0" borderId="0" xfId="0" applyFont="1"/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G15" sqref="G15"/>
    </sheetView>
  </sheetViews>
  <sheetFormatPr defaultColWidth="9" defaultRowHeight="14.25"/>
  <cols>
    <col min="1" max="1" width="26.59765625" customWidth="1"/>
    <col min="4" max="4" width="12.46484375" customWidth="1"/>
    <col min="5" max="5" width="12.33203125" customWidth="1"/>
    <col min="6" max="6" width="12.06640625" customWidth="1"/>
    <col min="7" max="7" width="37.46484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>
      <c r="A2" s="2" t="s">
        <v>7</v>
      </c>
      <c r="B2" s="2">
        <v>70</v>
      </c>
      <c r="C2" s="3">
        <v>60000</v>
      </c>
      <c r="D2" s="4">
        <f t="shared" ref="D2:D18" si="0">B2*C2</f>
        <v>4200000</v>
      </c>
      <c r="E2" s="5">
        <v>1000000</v>
      </c>
      <c r="F2" s="6">
        <f>D2-E2</f>
        <v>3200000</v>
      </c>
      <c r="G2" s="2" t="s">
        <v>8</v>
      </c>
    </row>
    <row r="3" spans="1:11">
      <c r="A3" s="2" t="s">
        <v>9</v>
      </c>
      <c r="B3" s="2">
        <v>7</v>
      </c>
      <c r="C3" s="3">
        <v>28000</v>
      </c>
      <c r="D3" s="4">
        <f t="shared" si="0"/>
        <v>196000</v>
      </c>
      <c r="E3" s="2"/>
      <c r="F3" s="2"/>
      <c r="G3" s="2"/>
    </row>
    <row r="4" spans="1:11">
      <c r="A4" s="2" t="s">
        <v>10</v>
      </c>
      <c r="B4" s="2">
        <v>2</v>
      </c>
      <c r="C4" s="3">
        <v>5000</v>
      </c>
      <c r="D4" s="4">
        <f t="shared" si="0"/>
        <v>10000</v>
      </c>
      <c r="E4" s="2"/>
      <c r="F4" s="2"/>
      <c r="G4" s="2" t="s">
        <v>11</v>
      </c>
    </row>
    <row r="5" spans="1:11">
      <c r="A5" s="2" t="s">
        <v>12</v>
      </c>
      <c r="B5" s="2">
        <v>4</v>
      </c>
      <c r="C5" s="3">
        <v>20000</v>
      </c>
      <c r="D5" s="4">
        <f>(B5*C5)</f>
        <v>80000</v>
      </c>
      <c r="E5" s="2"/>
      <c r="F5" s="2"/>
      <c r="G5" s="2" t="s">
        <v>13</v>
      </c>
    </row>
    <row r="6" spans="1:11">
      <c r="A6" s="2" t="s">
        <v>14</v>
      </c>
      <c r="B6" s="2">
        <v>4</v>
      </c>
      <c r="C6" s="3">
        <v>12000</v>
      </c>
      <c r="D6" s="4">
        <f>(B6*C6)</f>
        <v>48000</v>
      </c>
      <c r="E6" s="2"/>
      <c r="F6" s="2"/>
      <c r="G6" s="2"/>
    </row>
    <row r="7" spans="1:11">
      <c r="A7" s="2" t="s">
        <v>15</v>
      </c>
      <c r="B7" s="2">
        <v>4</v>
      </c>
      <c r="C7" s="3">
        <v>50000</v>
      </c>
      <c r="D7" s="4">
        <f>B7*C7</f>
        <v>200000</v>
      </c>
      <c r="E7" s="2"/>
      <c r="F7" s="2"/>
      <c r="G7" s="2"/>
    </row>
    <row r="8" spans="1:11">
      <c r="A8" s="2" t="s">
        <v>16</v>
      </c>
      <c r="B8" s="2">
        <v>1</v>
      </c>
      <c r="C8" s="3">
        <v>250000</v>
      </c>
      <c r="D8" s="4">
        <f t="shared" si="0"/>
        <v>250000</v>
      </c>
      <c r="E8" s="2"/>
      <c r="F8" s="2"/>
      <c r="G8" s="2" t="s">
        <v>17</v>
      </c>
    </row>
    <row r="9" spans="1:11">
      <c r="A9" s="7" t="s">
        <v>18</v>
      </c>
      <c r="B9" s="7">
        <v>1</v>
      </c>
      <c r="C9" s="8">
        <v>1000000</v>
      </c>
      <c r="D9" s="8">
        <f t="shared" si="0"/>
        <v>1000000</v>
      </c>
      <c r="E9" s="7"/>
      <c r="F9" s="7"/>
      <c r="G9" s="7"/>
      <c r="H9" s="11"/>
      <c r="I9" s="11"/>
      <c r="J9" s="11"/>
      <c r="K9" s="11"/>
    </row>
    <row r="10" spans="1:11">
      <c r="A10" s="2" t="s">
        <v>19</v>
      </c>
      <c r="B10" s="2">
        <v>1</v>
      </c>
      <c r="C10" s="3">
        <v>2500000</v>
      </c>
      <c r="D10" s="3">
        <f t="shared" si="0"/>
        <v>2500000</v>
      </c>
      <c r="E10" s="5">
        <v>1000000</v>
      </c>
      <c r="F10" s="5">
        <f>D10-E10</f>
        <v>1500000</v>
      </c>
      <c r="G10" s="2"/>
    </row>
    <row r="11" spans="1:11">
      <c r="A11" s="7" t="s">
        <v>20</v>
      </c>
      <c r="B11" s="2">
        <v>4</v>
      </c>
      <c r="C11" s="3">
        <v>100000</v>
      </c>
      <c r="D11" s="4">
        <f t="shared" si="0"/>
        <v>400000</v>
      </c>
      <c r="E11" s="2"/>
      <c r="F11" s="2"/>
      <c r="G11" s="2"/>
    </row>
    <row r="12" spans="1:11">
      <c r="A12" s="7" t="s">
        <v>21</v>
      </c>
      <c r="B12" s="2">
        <v>12</v>
      </c>
      <c r="C12" s="3">
        <v>2000</v>
      </c>
      <c r="D12" s="4">
        <f t="shared" si="0"/>
        <v>24000</v>
      </c>
      <c r="E12" s="2"/>
      <c r="F12" s="2"/>
      <c r="G12" s="2"/>
    </row>
    <row r="13" spans="1:11">
      <c r="A13" s="7" t="s">
        <v>22</v>
      </c>
      <c r="B13" s="7">
        <v>30</v>
      </c>
      <c r="C13" s="8">
        <v>100000</v>
      </c>
      <c r="D13" s="9">
        <f t="shared" si="0"/>
        <v>3000000</v>
      </c>
      <c r="E13" s="7"/>
      <c r="F13" s="7"/>
      <c r="G13" s="7"/>
      <c r="H13" s="11"/>
      <c r="I13" s="11"/>
      <c r="J13" s="11"/>
      <c r="K13" s="11"/>
    </row>
    <row r="14" spans="1:11">
      <c r="A14" s="7" t="s">
        <v>23</v>
      </c>
      <c r="B14" s="7">
        <v>40</v>
      </c>
      <c r="C14" s="8">
        <v>30000</v>
      </c>
      <c r="D14" s="9">
        <f t="shared" si="0"/>
        <v>1200000</v>
      </c>
      <c r="E14" s="7"/>
      <c r="F14" s="7"/>
      <c r="G14" s="7"/>
      <c r="H14" s="11"/>
      <c r="I14" s="11"/>
      <c r="J14" s="11"/>
      <c r="K14" s="11"/>
    </row>
    <row r="15" spans="1:11">
      <c r="A15" s="7" t="s">
        <v>24</v>
      </c>
      <c r="B15" s="7">
        <v>30</v>
      </c>
      <c r="C15" s="8">
        <v>35000</v>
      </c>
      <c r="D15" s="9">
        <f t="shared" si="0"/>
        <v>1050000</v>
      </c>
      <c r="E15" s="7"/>
      <c r="F15" s="7"/>
      <c r="G15" s="12" t="s">
        <v>25</v>
      </c>
      <c r="H15" s="11"/>
      <c r="I15" s="11"/>
      <c r="J15" s="11"/>
      <c r="K15" s="11"/>
    </row>
    <row r="16" spans="1:11">
      <c r="A16" s="2" t="s">
        <v>26</v>
      </c>
      <c r="B16" s="2">
        <v>40</v>
      </c>
      <c r="C16" s="3">
        <v>20000</v>
      </c>
      <c r="D16" s="4">
        <f t="shared" si="0"/>
        <v>800000</v>
      </c>
      <c r="E16" s="2"/>
      <c r="F16" s="2"/>
      <c r="G16" s="2"/>
    </row>
    <row r="17" spans="1:7">
      <c r="A17" s="2" t="s">
        <v>27</v>
      </c>
      <c r="B17" s="2">
        <v>1</v>
      </c>
      <c r="C17" s="3">
        <v>200000</v>
      </c>
      <c r="D17" s="4">
        <f t="shared" si="0"/>
        <v>200000</v>
      </c>
      <c r="E17" s="2"/>
      <c r="F17" s="2"/>
      <c r="G17" s="2"/>
    </row>
    <row r="18" spans="1:7">
      <c r="A18" s="2" t="s">
        <v>28</v>
      </c>
      <c r="B18" s="2">
        <v>1</v>
      </c>
      <c r="C18" s="3">
        <v>300000</v>
      </c>
      <c r="D18" s="4">
        <f t="shared" si="0"/>
        <v>300000</v>
      </c>
      <c r="E18" s="2"/>
      <c r="F18" s="2"/>
      <c r="G18" s="2"/>
    </row>
    <row r="19" spans="1:7">
      <c r="A19" s="1" t="s">
        <v>29</v>
      </c>
      <c r="B19" s="2"/>
      <c r="C19" s="2"/>
      <c r="D19" s="10">
        <f>SUM(D2:D18)</f>
        <v>15458000</v>
      </c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topLeftCell="A8" workbookViewId="0">
      <selection activeCell="F28" sqref="F28"/>
    </sheetView>
  </sheetViews>
  <sheetFormatPr defaultColWidth="8.86328125" defaultRowHeight="14.25"/>
  <cols>
    <col min="1" max="1" width="32.19921875" customWidth="1"/>
    <col min="3" max="3" width="14.53125" customWidth="1"/>
    <col min="4" max="4" width="15.19921875" customWidth="1"/>
    <col min="5" max="5" width="13.3984375" bestFit="1" customWidth="1"/>
    <col min="6" max="6" width="14.33203125" customWidth="1"/>
    <col min="7" max="7" width="24.33203125" customWidth="1"/>
    <col min="11" max="11" width="11.6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70</v>
      </c>
      <c r="C2" s="3">
        <v>60000</v>
      </c>
      <c r="D2" s="4">
        <f>B2*C2</f>
        <v>4200000</v>
      </c>
      <c r="E2" s="18">
        <v>4200000</v>
      </c>
      <c r="F2" s="6">
        <f>D2-E2</f>
        <v>0</v>
      </c>
      <c r="G2" s="2" t="s">
        <v>8</v>
      </c>
    </row>
    <row r="3" spans="1:7">
      <c r="A3" s="2" t="s">
        <v>9</v>
      </c>
      <c r="B3" s="2">
        <v>7</v>
      </c>
      <c r="C3" s="3">
        <v>28000</v>
      </c>
      <c r="D3" s="4">
        <f>B3*C3</f>
        <v>196000</v>
      </c>
      <c r="E3" s="19">
        <v>196000</v>
      </c>
      <c r="F3" s="15">
        <f>D3-E3</f>
        <v>0</v>
      </c>
      <c r="G3" s="2"/>
    </row>
    <row r="4" spans="1:7">
      <c r="A4" s="2" t="s">
        <v>30</v>
      </c>
      <c r="B4" s="2">
        <v>3</v>
      </c>
      <c r="C4" s="3">
        <v>120000</v>
      </c>
      <c r="D4" s="4">
        <f>C4*B4</f>
        <v>360000</v>
      </c>
      <c r="E4" s="19">
        <f>(125000 *2)</f>
        <v>250000</v>
      </c>
      <c r="F4" s="15">
        <f>(D4-E4)</f>
        <v>110000</v>
      </c>
      <c r="G4" s="2" t="s">
        <v>40</v>
      </c>
    </row>
    <row r="5" spans="1:7">
      <c r="A5" s="2" t="s">
        <v>10</v>
      </c>
      <c r="B5" s="2">
        <v>3</v>
      </c>
      <c r="C5" s="3">
        <v>5000</v>
      </c>
      <c r="D5" s="4">
        <f t="shared" ref="D5:D19" si="0">B5*C5</f>
        <v>15000</v>
      </c>
      <c r="E5" s="19">
        <v>15000</v>
      </c>
      <c r="F5" s="15">
        <f>D5-E5</f>
        <v>0</v>
      </c>
      <c r="G5" s="2" t="s">
        <v>11</v>
      </c>
    </row>
    <row r="6" spans="1:7">
      <c r="A6" s="2" t="s">
        <v>12</v>
      </c>
      <c r="B6" s="2">
        <v>3</v>
      </c>
      <c r="C6" s="3">
        <v>20000</v>
      </c>
      <c r="D6" s="4">
        <f>(B6*C6)</f>
        <v>60000</v>
      </c>
      <c r="E6" s="19">
        <v>60000</v>
      </c>
      <c r="F6" s="15">
        <f>(D6-E6)</f>
        <v>0</v>
      </c>
      <c r="G6" s="2" t="s">
        <v>13</v>
      </c>
    </row>
    <row r="7" spans="1:7">
      <c r="A7" s="2" t="s">
        <v>14</v>
      </c>
      <c r="B7" s="2">
        <v>4</v>
      </c>
      <c r="C7" s="3">
        <v>12000</v>
      </c>
      <c r="D7" s="4">
        <f>(B7*C7)</f>
        <v>48000</v>
      </c>
      <c r="E7" s="19">
        <f>(11500*4)</f>
        <v>46000</v>
      </c>
      <c r="F7" s="15">
        <f>D7-E7</f>
        <v>2000</v>
      </c>
      <c r="G7" s="2"/>
    </row>
    <row r="8" spans="1:7">
      <c r="A8" s="2" t="s">
        <v>15</v>
      </c>
      <c r="B8" s="2">
        <v>3</v>
      </c>
      <c r="C8" s="3">
        <v>200000</v>
      </c>
      <c r="D8" s="4">
        <f>B8*C8</f>
        <v>600000</v>
      </c>
      <c r="E8" s="19">
        <v>600000</v>
      </c>
      <c r="F8" s="15">
        <v>0</v>
      </c>
      <c r="G8" s="2" t="s">
        <v>31</v>
      </c>
    </row>
    <row r="9" spans="1:7">
      <c r="A9" s="2" t="s">
        <v>16</v>
      </c>
      <c r="B9" s="2">
        <v>1</v>
      </c>
      <c r="C9" s="3">
        <v>250000</v>
      </c>
      <c r="D9" s="4">
        <f t="shared" si="0"/>
        <v>250000</v>
      </c>
      <c r="E9" s="19">
        <v>250000</v>
      </c>
      <c r="F9" s="2">
        <v>0</v>
      </c>
      <c r="G9" s="2" t="s">
        <v>17</v>
      </c>
    </row>
    <row r="10" spans="1:7">
      <c r="A10" s="7" t="s">
        <v>18</v>
      </c>
      <c r="B10" s="7">
        <v>1</v>
      </c>
      <c r="C10" s="8">
        <v>1000000</v>
      </c>
      <c r="D10" s="8">
        <f t="shared" si="0"/>
        <v>1000000</v>
      </c>
      <c r="E10" s="17">
        <v>1000000</v>
      </c>
      <c r="F10" s="7">
        <v>0</v>
      </c>
      <c r="G10" s="7"/>
    </row>
    <row r="11" spans="1:7">
      <c r="A11" s="2" t="s">
        <v>19</v>
      </c>
      <c r="B11" s="2">
        <v>1</v>
      </c>
      <c r="C11" s="3">
        <v>2500000</v>
      </c>
      <c r="D11" s="3">
        <f t="shared" si="0"/>
        <v>2500000</v>
      </c>
      <c r="E11" s="18">
        <v>2500000</v>
      </c>
      <c r="F11" s="5">
        <f>D11-E11</f>
        <v>0</v>
      </c>
      <c r="G11" s="2"/>
    </row>
    <row r="12" spans="1:7">
      <c r="A12" s="7" t="s">
        <v>21</v>
      </c>
      <c r="B12" s="2">
        <v>12</v>
      </c>
      <c r="C12" s="3">
        <v>2000</v>
      </c>
      <c r="D12" s="4">
        <f t="shared" si="0"/>
        <v>24000</v>
      </c>
      <c r="E12" s="19">
        <v>20000</v>
      </c>
      <c r="F12" s="2">
        <v>0</v>
      </c>
      <c r="G12" s="2"/>
    </row>
    <row r="13" spans="1:7">
      <c r="A13" s="7" t="s">
        <v>33</v>
      </c>
      <c r="B13" s="7">
        <v>32</v>
      </c>
      <c r="C13" s="8">
        <v>100000</v>
      </c>
      <c r="D13" s="9">
        <f t="shared" si="0"/>
        <v>3200000</v>
      </c>
      <c r="E13" s="17">
        <f>2596000+B32</f>
        <v>2666000</v>
      </c>
      <c r="F13" s="16">
        <f>D13-E13</f>
        <v>534000</v>
      </c>
      <c r="G13" s="7" t="s">
        <v>43</v>
      </c>
    </row>
    <row r="14" spans="1:7">
      <c r="A14" s="7" t="s">
        <v>23</v>
      </c>
      <c r="B14" s="7">
        <v>40</v>
      </c>
      <c r="C14" s="8">
        <v>60000</v>
      </c>
      <c r="D14" s="9">
        <f t="shared" si="0"/>
        <v>2400000</v>
      </c>
      <c r="E14" s="17">
        <v>2120000</v>
      </c>
      <c r="F14" s="16">
        <f>D14-E14</f>
        <v>280000</v>
      </c>
      <c r="G14" s="7" t="s">
        <v>35</v>
      </c>
    </row>
    <row r="15" spans="1:7">
      <c r="A15" s="7" t="s">
        <v>32</v>
      </c>
      <c r="B15" s="2">
        <v>4</v>
      </c>
      <c r="C15" s="3">
        <v>50000</v>
      </c>
      <c r="D15" s="4">
        <f>B15*C15</f>
        <v>200000</v>
      </c>
      <c r="E15" s="19">
        <v>200000</v>
      </c>
      <c r="F15" s="2">
        <v>0</v>
      </c>
      <c r="G15" s="2"/>
    </row>
    <row r="16" spans="1:7">
      <c r="A16" s="7" t="s">
        <v>24</v>
      </c>
      <c r="B16" s="7">
        <v>32</v>
      </c>
      <c r="C16" s="8">
        <v>5000</v>
      </c>
      <c r="D16" s="9">
        <f t="shared" si="0"/>
        <v>160000</v>
      </c>
      <c r="E16" s="17">
        <v>160000</v>
      </c>
      <c r="F16" s="7">
        <v>0</v>
      </c>
      <c r="G16" t="s">
        <v>34</v>
      </c>
    </row>
    <row r="17" spans="1:7">
      <c r="A17" s="2" t="s">
        <v>26</v>
      </c>
      <c r="B17" s="2">
        <v>40</v>
      </c>
      <c r="C17" s="3">
        <v>5000</v>
      </c>
      <c r="D17" s="4">
        <f t="shared" si="0"/>
        <v>200000</v>
      </c>
      <c r="E17" s="19">
        <v>200000</v>
      </c>
      <c r="F17" s="2">
        <v>0</v>
      </c>
      <c r="G17" s="2"/>
    </row>
    <row r="18" spans="1:7">
      <c r="A18" s="2" t="s">
        <v>27</v>
      </c>
      <c r="B18" s="2">
        <v>1</v>
      </c>
      <c r="C18" s="3">
        <v>200000</v>
      </c>
      <c r="D18" s="4">
        <f t="shared" si="0"/>
        <v>200000</v>
      </c>
      <c r="E18" s="19">
        <v>200000</v>
      </c>
      <c r="F18" s="2">
        <v>0</v>
      </c>
      <c r="G18" s="2"/>
    </row>
    <row r="19" spans="1:7">
      <c r="A19" s="2" t="s">
        <v>28</v>
      </c>
      <c r="B19" s="2">
        <v>1</v>
      </c>
      <c r="C19" s="3">
        <v>200000</v>
      </c>
      <c r="D19" s="4">
        <f t="shared" si="0"/>
        <v>200000</v>
      </c>
      <c r="E19" s="19">
        <f>SUM(B27:B31)</f>
        <v>136000</v>
      </c>
      <c r="F19" s="15">
        <f>(D19-E19)</f>
        <v>64000</v>
      </c>
      <c r="G19" s="2"/>
    </row>
    <row r="20" spans="1:7">
      <c r="A20" s="1" t="s">
        <v>29</v>
      </c>
      <c r="B20" s="2"/>
      <c r="C20" s="2"/>
      <c r="D20" s="10">
        <f>SUM(D2:D19)</f>
        <v>15813000</v>
      </c>
      <c r="E20" s="3">
        <f>SUM(E2:E19)</f>
        <v>14819000</v>
      </c>
      <c r="F20" s="15">
        <f>(D20-E20)</f>
        <v>994000</v>
      </c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7" spans="1:7">
      <c r="A27" s="20" t="s">
        <v>36</v>
      </c>
      <c r="D27" s="13"/>
    </row>
    <row r="28" spans="1:7">
      <c r="A28" t="s">
        <v>37</v>
      </c>
      <c r="B28">
        <f>70000+50000</f>
        <v>120000</v>
      </c>
    </row>
    <row r="29" spans="1:7">
      <c r="A29" t="s">
        <v>38</v>
      </c>
      <c r="B29">
        <v>1000</v>
      </c>
    </row>
    <row r="30" spans="1:7">
      <c r="A30" t="s">
        <v>39</v>
      </c>
    </row>
    <row r="31" spans="1:7">
      <c r="A31" s="21" t="s">
        <v>41</v>
      </c>
      <c r="B31">
        <v>15000</v>
      </c>
      <c r="D31" s="13"/>
    </row>
    <row r="32" spans="1:7">
      <c r="A32" s="21" t="s">
        <v>42</v>
      </c>
      <c r="B32">
        <f>2*35000</f>
        <v>70000</v>
      </c>
    </row>
    <row r="33" spans="4:4">
      <c r="D33" s="13"/>
    </row>
    <row r="35" spans="4:4">
      <c r="D35" s="1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2025-11-17T07:56:00Z</dcterms:created>
  <dcterms:modified xsi:type="dcterms:W3CDTF">2025-12-21T16:30:51Z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B084013D5A194745BCC19073D0E31765_12</vt:lpwstr>
  </property>
  <property fmtid="{D5CDD505-2E9C-101B-9397-08002B2CF9AE}" pid="3" name="KSOProductBuildVer">
    <vt:lpwstr>1033-12.2.0.22549</vt:lpwstr>
  </property>
</Properties>
</file>